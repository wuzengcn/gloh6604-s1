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uzeng/Library/CloudStorage/GoogleDrive-wz192@georgetown.edu/My Drive/GU/Teach/2026-01-Spring/GLOH-6604/gloh6604-s1/libs/pic/"/>
    </mc:Choice>
  </mc:AlternateContent>
  <xr:revisionPtr revIDLastSave="0" documentId="13_ncr:1_{D3D7F279-561C-D843-94B6-9912A077F413}" xr6:coauthVersionLast="47" xr6:coauthVersionMax="47" xr10:uidLastSave="{00000000-0000-0000-0000-000000000000}"/>
  <bookViews>
    <workbookView xWindow="10360" yWindow="2760" windowWidth="28040" windowHeight="15940" xr2:uid="{C4EFC199-4AE4-2648-AAE0-2F4C20B0A77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E26" i="3"/>
  <c r="E25" i="3"/>
  <c r="D26" i="3"/>
  <c r="F26" i="3" s="1"/>
  <c r="D25" i="3"/>
  <c r="E11" i="3"/>
  <c r="B8" i="3"/>
  <c r="E8" i="3" s="1"/>
  <c r="E7" i="3"/>
  <c r="E5" i="3"/>
  <c r="E4" i="3"/>
  <c r="C2" i="3"/>
  <c r="C3" i="3" s="1"/>
  <c r="E3" i="3" s="1"/>
  <c r="E11" i="1"/>
  <c r="E3" i="2"/>
  <c r="F3" i="2" s="1"/>
  <c r="E2" i="2"/>
  <c r="F2" i="2" s="1"/>
  <c r="C7" i="1"/>
  <c r="E7" i="1" s="1"/>
  <c r="B8" i="1"/>
  <c r="E8" i="1" s="1"/>
  <c r="C2" i="1"/>
  <c r="C3" i="1" s="1"/>
  <c r="E3" i="1" s="1"/>
  <c r="D3" i="2"/>
  <c r="D2" i="2"/>
  <c r="E5" i="1"/>
  <c r="E4" i="1"/>
  <c r="F25" i="3" l="1"/>
  <c r="F27" i="3" s="1"/>
  <c r="E12" i="3" s="1"/>
  <c r="E2" i="3"/>
  <c r="E6" i="3" s="1"/>
  <c r="E9" i="3" s="1"/>
  <c r="E2" i="1"/>
  <c r="E6" i="1" s="1"/>
  <c r="E9" i="1" s="1"/>
  <c r="F4" i="2"/>
  <c r="E12" i="1" s="1"/>
  <c r="E15" i="1" l="1"/>
  <c r="E15" i="3"/>
  <c r="E13" i="3"/>
  <c r="E10" i="3"/>
  <c r="E13" i="1"/>
  <c r="E10" i="1"/>
  <c r="E16" i="3" l="1"/>
  <c r="E14" i="3"/>
  <c r="E16" i="1"/>
  <c r="E14" i="1"/>
</calcChain>
</file>

<file path=xl/sharedStrings.xml><?xml version="1.0" encoding="utf-8"?>
<sst xmlns="http://schemas.openxmlformats.org/spreadsheetml/2006/main" count="91" uniqueCount="34">
  <si>
    <t>Items</t>
  </si>
  <si>
    <t>Unit cost</t>
  </si>
  <si>
    <t>Quantity</t>
  </si>
  <si>
    <t>Total</t>
  </si>
  <si>
    <t>Personnel</t>
  </si>
  <si>
    <t>Duration</t>
  </si>
  <si>
    <t>Allowance</t>
  </si>
  <si>
    <t>Materials</t>
  </si>
  <si>
    <t>Rental</t>
  </si>
  <si>
    <t>Savings</t>
  </si>
  <si>
    <t>Number of infections</t>
  </si>
  <si>
    <t>Visits per infections</t>
  </si>
  <si>
    <t>Type of cases</t>
  </si>
  <si>
    <t>With major symptoms</t>
  </si>
  <si>
    <t>Without major symptoms</t>
  </si>
  <si>
    <t>QoL</t>
  </si>
  <si>
    <t># case</t>
  </si>
  <si>
    <t>QALYs gained</t>
  </si>
  <si>
    <t>QoL Gained</t>
  </si>
  <si>
    <t>Number of employees</t>
  </si>
  <si>
    <t>Number of individual visits</t>
  </si>
  <si>
    <t>Duration of visit</t>
  </si>
  <si>
    <t>ICER (HS/case)</t>
  </si>
  <si>
    <t>Number of prevented infections</t>
  </si>
  <si>
    <t>Net cost (Societal)</t>
  </si>
  <si>
    <t>Prevented cases</t>
  </si>
  <si>
    <t>ICER (HS/QALY)</t>
  </si>
  <si>
    <t>ICER (Socital/QALY)</t>
  </si>
  <si>
    <t>ICER (Socital/case)</t>
  </si>
  <si>
    <t>Net cost (HS)</t>
  </si>
  <si>
    <t>Cost to households</t>
  </si>
  <si>
    <t>Quantity1</t>
  </si>
  <si>
    <t>Quantity2</t>
  </si>
  <si>
    <t xml:space="preserve">QALYs gained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</si>
</sst>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2F96-A4E2-3341-8D8D-4F8A97093FDB}">
  <dimension ref="A1:K16"/>
  <sheetViews>
    <sheetView tabSelected="1" workbookViewId="0">
      <selection activeCell="G18" sqref="G18"/>
    </sheetView>
  </sheetViews>
  <sheetFormatPr baseColWidth="10" defaultRowHeight="16" x14ac:dyDescent="0.2"/>
  <cols>
    <col min="2" max="2" width="11" bestFit="1" customWidth="1"/>
    <col min="3" max="3" width="14.6640625" bestFit="1" customWidth="1"/>
    <col min="4" max="4" width="11" bestFit="1" customWidth="1"/>
    <col min="5" max="5" width="13.6640625" bestFit="1" customWidth="1"/>
  </cols>
  <sheetData>
    <row r="1" spans="1:11" x14ac:dyDescent="0.2">
      <c r="A1" t="s">
        <v>0</v>
      </c>
      <c r="B1" t="s">
        <v>1</v>
      </c>
      <c r="C1" t="s">
        <v>31</v>
      </c>
      <c r="D1" t="s">
        <v>32</v>
      </c>
      <c r="E1" t="s">
        <v>3</v>
      </c>
      <c r="G1" t="s">
        <v>0</v>
      </c>
      <c r="H1" t="s">
        <v>1</v>
      </c>
      <c r="I1" t="s">
        <v>2</v>
      </c>
      <c r="J1" t="s">
        <v>5</v>
      </c>
      <c r="K1" t="s">
        <v>3</v>
      </c>
    </row>
    <row r="2" spans="1:11" x14ac:dyDescent="0.2">
      <c r="A2" t="s">
        <v>4</v>
      </c>
      <c r="B2">
        <v>3000</v>
      </c>
      <c r="C2">
        <f>H2</f>
        <v>4</v>
      </c>
      <c r="D2">
        <v>3</v>
      </c>
      <c r="E2" s="1">
        <f>B2*C2*D2</f>
        <v>36000</v>
      </c>
      <c r="G2" t="s">
        <v>19</v>
      </c>
      <c r="H2">
        <v>4</v>
      </c>
    </row>
    <row r="3" spans="1:11" x14ac:dyDescent="0.2">
      <c r="A3" t="s">
        <v>6</v>
      </c>
      <c r="B3">
        <v>300</v>
      </c>
      <c r="C3">
        <f>C2</f>
        <v>4</v>
      </c>
      <c r="D3">
        <v>3</v>
      </c>
      <c r="E3" s="1">
        <f>B3*C3*D3</f>
        <v>3600</v>
      </c>
      <c r="G3" t="s">
        <v>23</v>
      </c>
      <c r="H3">
        <v>3000</v>
      </c>
    </row>
    <row r="4" spans="1:11" x14ac:dyDescent="0.2">
      <c r="A4" t="s">
        <v>7</v>
      </c>
      <c r="B4">
        <v>500</v>
      </c>
      <c r="C4">
        <v>1</v>
      </c>
      <c r="E4" s="1">
        <f>B4*C4</f>
        <v>500</v>
      </c>
    </row>
    <row r="5" spans="1:11" x14ac:dyDescent="0.2">
      <c r="A5" t="s">
        <v>8</v>
      </c>
      <c r="B5">
        <v>1000</v>
      </c>
      <c r="C5">
        <v>1</v>
      </c>
      <c r="E5" s="1">
        <f>B5*C5</f>
        <v>1000</v>
      </c>
    </row>
    <row r="6" spans="1:11" x14ac:dyDescent="0.2">
      <c r="A6" t="s">
        <v>3</v>
      </c>
      <c r="E6" s="1">
        <f>SUM(E2:E5)</f>
        <v>41100</v>
      </c>
    </row>
    <row r="7" spans="1:11" x14ac:dyDescent="0.2">
      <c r="A7" t="s">
        <v>9</v>
      </c>
      <c r="B7">
        <v>20</v>
      </c>
      <c r="C7">
        <f>H3*20%</f>
        <v>600</v>
      </c>
      <c r="D7">
        <v>2.5</v>
      </c>
      <c r="E7" s="1">
        <f>B7*C7*D7</f>
        <v>30000</v>
      </c>
      <c r="G7" t="s">
        <v>0</v>
      </c>
      <c r="H7" t="s">
        <v>1</v>
      </c>
      <c r="I7" t="s">
        <v>10</v>
      </c>
      <c r="J7" t="s">
        <v>11</v>
      </c>
      <c r="K7" t="s">
        <v>3</v>
      </c>
    </row>
    <row r="8" spans="1:11" x14ac:dyDescent="0.2">
      <c r="A8" t="s">
        <v>30</v>
      </c>
      <c r="B8" s="5">
        <f>500/30/8/60</f>
        <v>3.4722222222222224E-2</v>
      </c>
      <c r="C8" s="7">
        <v>200000</v>
      </c>
      <c r="D8" s="7">
        <v>10</v>
      </c>
      <c r="E8" s="7">
        <f>B8*C8*D8</f>
        <v>69444.444444444438</v>
      </c>
      <c r="H8" t="s">
        <v>1</v>
      </c>
      <c r="I8" t="s">
        <v>20</v>
      </c>
      <c r="J8" t="s">
        <v>21</v>
      </c>
      <c r="K8" t="s">
        <v>3</v>
      </c>
    </row>
    <row r="9" spans="1:11" ht="34" x14ac:dyDescent="0.2">
      <c r="A9" s="4" t="s">
        <v>29</v>
      </c>
      <c r="E9" s="2">
        <f>E6-E7</f>
        <v>11100</v>
      </c>
    </row>
    <row r="10" spans="1:11" x14ac:dyDescent="0.2">
      <c r="A10" t="s">
        <v>24</v>
      </c>
      <c r="B10" s="5"/>
      <c r="C10" s="5"/>
      <c r="D10" s="5"/>
      <c r="E10" s="7">
        <f>E9+E8</f>
        <v>80544.444444444438</v>
      </c>
      <c r="F10" s="3"/>
      <c r="G10" s="3"/>
    </row>
    <row r="11" spans="1:11" x14ac:dyDescent="0.2">
      <c r="A11" t="s">
        <v>25</v>
      </c>
      <c r="E11">
        <f>H3</f>
        <v>3000</v>
      </c>
      <c r="F11" s="3"/>
      <c r="G11" s="3"/>
    </row>
    <row r="12" spans="1:11" x14ac:dyDescent="0.2">
      <c r="A12" t="s">
        <v>33</v>
      </c>
      <c r="E12" s="6">
        <f>Sheet2!F4</f>
        <v>6.7397260273972606</v>
      </c>
    </row>
    <row r="13" spans="1:11" x14ac:dyDescent="0.2">
      <c r="A13" t="s">
        <v>22</v>
      </c>
      <c r="E13" s="3">
        <f>E9/3000</f>
        <v>3.7</v>
      </c>
    </row>
    <row r="14" spans="1:11" x14ac:dyDescent="0.2">
      <c r="A14" t="s">
        <v>28</v>
      </c>
      <c r="E14" s="3">
        <f>E10/E11</f>
        <v>26.848148148148145</v>
      </c>
    </row>
    <row r="15" spans="1:11" x14ac:dyDescent="0.2">
      <c r="A15" t="s">
        <v>26</v>
      </c>
      <c r="E15" s="3">
        <f>E9/E12</f>
        <v>1646.9512195121949</v>
      </c>
    </row>
    <row r="16" spans="1:11" x14ac:dyDescent="0.2">
      <c r="A16" t="s">
        <v>27</v>
      </c>
      <c r="E16" s="1">
        <f>E10/E12</f>
        <v>11950.700090334236</v>
      </c>
      <c r="G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034A-710C-1E44-BD3B-771C98CCD653}">
  <dimension ref="A1:F4"/>
  <sheetViews>
    <sheetView workbookViewId="0">
      <selection sqref="A1:F4"/>
    </sheetView>
  </sheetViews>
  <sheetFormatPr baseColWidth="10" defaultRowHeight="16" x14ac:dyDescent="0.2"/>
  <cols>
    <col min="1" max="1" width="23.6640625" customWidth="1"/>
    <col min="2" max="2" width="5.6640625" customWidth="1"/>
    <col min="3" max="3" width="10" customWidth="1"/>
    <col min="4" max="4" width="8.83203125" customWidth="1"/>
    <col min="5" max="5" width="6.83203125" customWidth="1"/>
    <col min="6" max="6" width="12.33203125" customWidth="1"/>
  </cols>
  <sheetData>
    <row r="1" spans="1:6" x14ac:dyDescent="0.2">
      <c r="A1" t="s">
        <v>12</v>
      </c>
      <c r="B1" t="s">
        <v>15</v>
      </c>
      <c r="C1" t="s">
        <v>18</v>
      </c>
      <c r="D1" t="s">
        <v>5</v>
      </c>
      <c r="E1" t="s">
        <v>16</v>
      </c>
      <c r="F1" t="s">
        <v>17</v>
      </c>
    </row>
    <row r="2" spans="1:6" x14ac:dyDescent="0.2">
      <c r="A2" t="s">
        <v>13</v>
      </c>
      <c r="B2">
        <v>0.85</v>
      </c>
      <c r="C2">
        <v>0.15</v>
      </c>
      <c r="D2" s="5">
        <f>14/365</f>
        <v>3.8356164383561646E-2</v>
      </c>
      <c r="E2">
        <f>Sheet1!H3*20%</f>
        <v>600</v>
      </c>
      <c r="F2" s="6">
        <f>C2*D2*E2</f>
        <v>3.452054794520548</v>
      </c>
    </row>
    <row r="3" spans="1:6" x14ac:dyDescent="0.2">
      <c r="A3" t="s">
        <v>14</v>
      </c>
      <c r="B3">
        <v>0.95</v>
      </c>
      <c r="C3">
        <v>0.05</v>
      </c>
      <c r="D3" s="5">
        <f>10/365</f>
        <v>2.7397260273972601E-2</v>
      </c>
      <c r="E3">
        <f>Sheet1!H3*80%</f>
        <v>2400</v>
      </c>
      <c r="F3" s="6">
        <f>C3*D3*E3</f>
        <v>3.2876712328767121</v>
      </c>
    </row>
    <row r="4" spans="1:6" x14ac:dyDescent="0.2">
      <c r="A4" t="s">
        <v>3</v>
      </c>
      <c r="F4" s="6">
        <f>SUM(F2:F3)</f>
        <v>6.7397260273972606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B431-7F82-024E-A12E-197E0591E009}">
  <dimension ref="A1:J27"/>
  <sheetViews>
    <sheetView workbookViewId="0">
      <selection activeCell="A13" sqref="A13"/>
    </sheetView>
  </sheetViews>
  <sheetFormatPr baseColWidth="10" defaultRowHeight="16" x14ac:dyDescent="0.2"/>
  <cols>
    <col min="2" max="2" width="11" bestFit="1" customWidth="1"/>
    <col min="3" max="3" width="14.6640625" bestFit="1" customWidth="1"/>
    <col min="4" max="4" width="11" bestFit="1" customWidth="1"/>
    <col min="5" max="5" width="13.6640625" bestFit="1" customWidth="1"/>
  </cols>
  <sheetData>
    <row r="1" spans="1:10" x14ac:dyDescent="0.2">
      <c r="A1" t="s">
        <v>0</v>
      </c>
      <c r="B1" t="s">
        <v>1</v>
      </c>
      <c r="C1" t="s">
        <v>31</v>
      </c>
      <c r="D1" t="s">
        <v>32</v>
      </c>
      <c r="E1" t="s">
        <v>3</v>
      </c>
      <c r="F1" t="s">
        <v>0</v>
      </c>
      <c r="G1" t="s">
        <v>1</v>
      </c>
      <c r="H1" t="s">
        <v>2</v>
      </c>
      <c r="I1" t="s">
        <v>5</v>
      </c>
      <c r="J1" t="s">
        <v>3</v>
      </c>
    </row>
    <row r="2" spans="1:10" x14ac:dyDescent="0.2">
      <c r="A2" t="s">
        <v>4</v>
      </c>
      <c r="B2">
        <v>3000</v>
      </c>
      <c r="C2">
        <f>H2</f>
        <v>4</v>
      </c>
      <c r="D2">
        <v>3</v>
      </c>
      <c r="E2" s="1">
        <f>B2*C2*D2</f>
        <v>36000</v>
      </c>
      <c r="G2" t="s">
        <v>19</v>
      </c>
      <c r="H2">
        <v>4</v>
      </c>
    </row>
    <row r="3" spans="1:10" x14ac:dyDescent="0.2">
      <c r="A3" t="s">
        <v>6</v>
      </c>
      <c r="B3">
        <v>300</v>
      </c>
      <c r="C3">
        <f>C2</f>
        <v>4</v>
      </c>
      <c r="D3">
        <v>3</v>
      </c>
      <c r="E3" s="1">
        <f>B3*C3*D3</f>
        <v>3600</v>
      </c>
      <c r="G3" t="s">
        <v>23</v>
      </c>
      <c r="H3">
        <v>4000</v>
      </c>
    </row>
    <row r="4" spans="1:10" x14ac:dyDescent="0.2">
      <c r="A4" t="s">
        <v>7</v>
      </c>
      <c r="B4">
        <v>500</v>
      </c>
      <c r="C4">
        <v>1</v>
      </c>
      <c r="E4" s="1">
        <f>B4*C4</f>
        <v>500</v>
      </c>
    </row>
    <row r="5" spans="1:10" x14ac:dyDescent="0.2">
      <c r="A5" t="s">
        <v>8</v>
      </c>
      <c r="B5">
        <v>1000</v>
      </c>
      <c r="C5">
        <v>1</v>
      </c>
      <c r="E5" s="1">
        <f>B5*C5</f>
        <v>1000</v>
      </c>
    </row>
    <row r="6" spans="1:10" x14ac:dyDescent="0.2">
      <c r="A6" t="s">
        <v>3</v>
      </c>
      <c r="E6" s="1">
        <f>SUM(E2:E5)</f>
        <v>41100</v>
      </c>
    </row>
    <row r="7" spans="1:10" x14ac:dyDescent="0.2">
      <c r="A7" t="s">
        <v>9</v>
      </c>
      <c r="B7">
        <v>20</v>
      </c>
      <c r="C7">
        <f>H3*20%</f>
        <v>800</v>
      </c>
      <c r="D7">
        <v>2.5</v>
      </c>
      <c r="E7" s="1">
        <f>B7*C7*D7</f>
        <v>40000</v>
      </c>
      <c r="F7" t="s">
        <v>0</v>
      </c>
      <c r="G7" t="s">
        <v>1</v>
      </c>
      <c r="H7" t="s">
        <v>10</v>
      </c>
      <c r="I7" t="s">
        <v>11</v>
      </c>
      <c r="J7" t="s">
        <v>3</v>
      </c>
    </row>
    <row r="8" spans="1:10" x14ac:dyDescent="0.2">
      <c r="A8" t="s">
        <v>30</v>
      </c>
      <c r="B8" s="5">
        <f>500/30/8/60</f>
        <v>3.4722222222222224E-2</v>
      </c>
      <c r="C8" s="7">
        <v>200000</v>
      </c>
      <c r="D8" s="7">
        <v>10</v>
      </c>
      <c r="E8" s="7">
        <f>B8*C8*D8</f>
        <v>69444.444444444438</v>
      </c>
      <c r="F8" t="s">
        <v>0</v>
      </c>
      <c r="G8" t="s">
        <v>1</v>
      </c>
      <c r="H8" t="s">
        <v>20</v>
      </c>
      <c r="I8" t="s">
        <v>21</v>
      </c>
      <c r="J8" t="s">
        <v>3</v>
      </c>
    </row>
    <row r="9" spans="1:10" ht="34" x14ac:dyDescent="0.2">
      <c r="A9" s="4" t="s">
        <v>29</v>
      </c>
      <c r="E9" s="2">
        <f>E6-E7</f>
        <v>1100</v>
      </c>
    </row>
    <row r="10" spans="1:10" x14ac:dyDescent="0.2">
      <c r="A10" t="s">
        <v>24</v>
      </c>
      <c r="B10" s="5"/>
      <c r="C10" s="5"/>
      <c r="D10" s="5"/>
      <c r="E10" s="7">
        <f>E9+E8</f>
        <v>70544.444444444438</v>
      </c>
      <c r="F10" s="3"/>
      <c r="G10" s="3"/>
    </row>
    <row r="11" spans="1:10" x14ac:dyDescent="0.2">
      <c r="A11" t="s">
        <v>25</v>
      </c>
      <c r="E11">
        <f>H3</f>
        <v>4000</v>
      </c>
      <c r="F11" s="3"/>
      <c r="G11" s="3"/>
    </row>
    <row r="12" spans="1:10" x14ac:dyDescent="0.2">
      <c r="A12" t="s">
        <v>33</v>
      </c>
      <c r="E12" s="6">
        <f>F27</f>
        <v>8.9863013698630141</v>
      </c>
    </row>
    <row r="13" spans="1:10" x14ac:dyDescent="0.2">
      <c r="A13" t="s">
        <v>22</v>
      </c>
      <c r="E13" s="3">
        <f>E9/3000</f>
        <v>0.36666666666666664</v>
      </c>
    </row>
    <row r="14" spans="1:10" x14ac:dyDescent="0.2">
      <c r="A14" t="s">
        <v>28</v>
      </c>
      <c r="E14" s="3">
        <f>E10/E11</f>
        <v>17.636111111111109</v>
      </c>
    </row>
    <row r="15" spans="1:10" x14ac:dyDescent="0.2">
      <c r="A15" t="s">
        <v>26</v>
      </c>
      <c r="E15" s="3">
        <f>E9/E12</f>
        <v>122.40853658536585</v>
      </c>
    </row>
    <row r="16" spans="1:10" x14ac:dyDescent="0.2">
      <c r="A16" t="s">
        <v>27</v>
      </c>
      <c r="E16" s="1">
        <f>E10/E12</f>
        <v>7850.2201897018958</v>
      </c>
      <c r="G16" s="2"/>
    </row>
    <row r="24" spans="1:6" x14ac:dyDescent="0.2">
      <c r="A24" t="s">
        <v>12</v>
      </c>
      <c r="B24" t="s">
        <v>15</v>
      </c>
      <c r="C24" t="s">
        <v>18</v>
      </c>
      <c r="D24" t="s">
        <v>5</v>
      </c>
      <c r="E24" t="s">
        <v>16</v>
      </c>
      <c r="F24" t="s">
        <v>17</v>
      </c>
    </row>
    <row r="25" spans="1:6" x14ac:dyDescent="0.2">
      <c r="A25" t="s">
        <v>13</v>
      </c>
      <c r="B25">
        <v>0.85</v>
      </c>
      <c r="C25">
        <v>0.15</v>
      </c>
      <c r="D25" s="5">
        <f>14/365</f>
        <v>3.8356164383561646E-2</v>
      </c>
      <c r="E25">
        <f>H3*0.2</f>
        <v>800</v>
      </c>
      <c r="F25" s="6">
        <f>C25*D25*E25</f>
        <v>4.602739726027397</v>
      </c>
    </row>
    <row r="26" spans="1:6" x14ac:dyDescent="0.2">
      <c r="A26" t="s">
        <v>14</v>
      </c>
      <c r="B26">
        <v>0.95</v>
      </c>
      <c r="C26">
        <v>0.05</v>
      </c>
      <c r="D26" s="5">
        <f>10/365</f>
        <v>2.7397260273972601E-2</v>
      </c>
      <c r="E26">
        <f>H3*0.8</f>
        <v>3200</v>
      </c>
      <c r="F26" s="6">
        <f>C26*D26*E26</f>
        <v>4.3835616438356162</v>
      </c>
    </row>
    <row r="27" spans="1:6" x14ac:dyDescent="0.2">
      <c r="A27" t="s">
        <v>3</v>
      </c>
      <c r="F27" s="6">
        <f>SUM(F25:F26)</f>
        <v>8.9863013698630141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Zeng</dc:creator>
  <cp:lastModifiedBy>Wu Zeng</cp:lastModifiedBy>
  <dcterms:created xsi:type="dcterms:W3CDTF">2025-12-23T02:50:17Z</dcterms:created>
  <dcterms:modified xsi:type="dcterms:W3CDTF">2026-02-20T02:39:57Z</dcterms:modified>
</cp:coreProperties>
</file>