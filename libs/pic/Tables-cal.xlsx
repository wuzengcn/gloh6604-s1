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1-Spring/GLOH-6604/gloh6604-s1/libs/pic/"/>
    </mc:Choice>
  </mc:AlternateContent>
  <xr:revisionPtr revIDLastSave="0" documentId="13_ncr:1_{4A70B28E-3A30-8E48-9E91-DC07B53052B6}" xr6:coauthVersionLast="47" xr6:coauthVersionMax="47" xr10:uidLastSave="{00000000-0000-0000-0000-000000000000}"/>
  <bookViews>
    <workbookView xWindow="13340" yWindow="1280" windowWidth="28040" windowHeight="15940" xr2:uid="{C4EFC199-4AE4-2648-AAE0-2F4C20B0A77A}"/>
  </bookViews>
  <sheets>
    <sheet name="Scenar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40" i="1"/>
  <c r="E39" i="1"/>
  <c r="F40" i="1"/>
  <c r="D40" i="1"/>
  <c r="D39" i="1"/>
  <c r="F39" i="1" s="1"/>
  <c r="F41" i="1" s="1"/>
  <c r="E26" i="1"/>
  <c r="C15" i="1"/>
  <c r="C7" i="1"/>
  <c r="E15" i="1"/>
  <c r="B19" i="1"/>
  <c r="E19" i="1" s="1"/>
  <c r="C8" i="1"/>
  <c r="E8" i="1" s="1"/>
  <c r="E10" i="1"/>
  <c r="E9" i="1"/>
  <c r="E7" i="1" l="1"/>
  <c r="E11" i="1" s="1"/>
  <c r="E22" i="1" s="1"/>
  <c r="E33" i="1" l="1"/>
  <c r="E31" i="1"/>
  <c r="E23" i="1"/>
  <c r="E34" i="1" l="1"/>
  <c r="E32" i="1"/>
</calcChain>
</file>

<file path=xl/sharedStrings.xml><?xml version="1.0" encoding="utf-8"?>
<sst xmlns="http://schemas.openxmlformats.org/spreadsheetml/2006/main" count="48" uniqueCount="43">
  <si>
    <t>Unit cost</t>
  </si>
  <si>
    <t>Total</t>
  </si>
  <si>
    <t>Personnel</t>
  </si>
  <si>
    <t>Duration</t>
  </si>
  <si>
    <t>Allowance</t>
  </si>
  <si>
    <t>Materials</t>
  </si>
  <si>
    <t>Rental</t>
  </si>
  <si>
    <t>Savings</t>
  </si>
  <si>
    <t>Type of cases</t>
  </si>
  <si>
    <t>With major symptoms</t>
  </si>
  <si>
    <t>Without major symptoms</t>
  </si>
  <si>
    <t>QoL</t>
  </si>
  <si>
    <t># case</t>
  </si>
  <si>
    <t>QALYs gained</t>
  </si>
  <si>
    <t>QoL Gained</t>
  </si>
  <si>
    <t>ICER (HS/case)</t>
  </si>
  <si>
    <t>Net cost (Societal)</t>
  </si>
  <si>
    <t>Prevented cases</t>
  </si>
  <si>
    <t>ICER (HS/QALY)</t>
  </si>
  <si>
    <t>ICER (Socital/QALY)</t>
  </si>
  <si>
    <t>ICER (Socital/case)</t>
  </si>
  <si>
    <t>Net cost (HS)</t>
  </si>
  <si>
    <t>Cost to households</t>
  </si>
  <si>
    <t>Quantity1</t>
  </si>
  <si>
    <t>Quantity2</t>
  </si>
  <si>
    <t>Cost per visit</t>
  </si>
  <si>
    <t>Number of cases averted</t>
  </si>
  <si>
    <t>Number of visit per case</t>
  </si>
  <si>
    <t>Program cost</t>
  </si>
  <si>
    <t>Input items</t>
  </si>
  <si>
    <t>Number of cases averted from seeking care</t>
  </si>
  <si>
    <t xml:space="preserve">Medical savings </t>
  </si>
  <si>
    <t>Cost per minute</t>
  </si>
  <si>
    <t>Number of minutes per visit</t>
  </si>
  <si>
    <t xml:space="preserve">Number of individual </t>
  </si>
  <si>
    <t>Net cost</t>
  </si>
  <si>
    <t>ICERs</t>
  </si>
  <si>
    <t>Effectiveness</t>
  </si>
  <si>
    <t xml:space="preserve">Parameter </t>
  </si>
  <si>
    <t>Value</t>
  </si>
  <si>
    <t>Number of personnel</t>
  </si>
  <si>
    <t>QALY cacluation</t>
  </si>
  <si>
    <t xml:space="preserve">QALYs gained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</si>
</sst>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C00000"/>
      <name val="Times New Roman"/>
      <family val="1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slantDashDot">
        <color theme="9" tint="-0.24994659260841701"/>
      </top>
      <bottom style="slantDashDot">
        <color theme="9" tint="-0.24994659260841701"/>
      </bottom>
      <diagonal/>
    </border>
    <border>
      <left/>
      <right/>
      <top style="slantDashDot">
        <color theme="9" tint="-0.24994659260841701"/>
      </top>
      <bottom/>
      <diagonal/>
    </border>
    <border>
      <left/>
      <right/>
      <top/>
      <bottom style="slantDashDot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 style="slantDashDot">
        <color theme="9" tint="-0.24994659260841701"/>
      </top>
      <bottom style="medium">
        <color theme="9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/>
    <xf numFmtId="0" fontId="2" fillId="0" borderId="0" xfId="0" applyFont="1" applyBorder="1"/>
    <xf numFmtId="164" fontId="2" fillId="0" borderId="0" xfId="1" applyNumberFormat="1" applyFont="1" applyBorder="1"/>
    <xf numFmtId="165" fontId="2" fillId="0" borderId="0" xfId="0" applyNumberFormat="1" applyFont="1" applyBorder="1"/>
    <xf numFmtId="1" fontId="2" fillId="0" borderId="0" xfId="0" applyNumberFormat="1" applyFont="1" applyBorder="1"/>
    <xf numFmtId="164" fontId="2" fillId="0" borderId="0" xfId="0" applyNumberFormat="1" applyFont="1" applyBorder="1"/>
    <xf numFmtId="2" fontId="2" fillId="0" borderId="0" xfId="0" applyNumberFormat="1" applyFont="1" applyBorder="1"/>
    <xf numFmtId="43" fontId="2" fillId="0" borderId="0" xfId="0" applyNumberFormat="1" applyFont="1" applyBorder="1"/>
    <xf numFmtId="0" fontId="2" fillId="0" borderId="3" xfId="0" applyFont="1" applyBorder="1"/>
    <xf numFmtId="164" fontId="2" fillId="0" borderId="3" xfId="1" applyNumberFormat="1" applyFont="1" applyBorder="1"/>
    <xf numFmtId="0" fontId="0" fillId="0" borderId="6" xfId="0" applyBorder="1"/>
    <xf numFmtId="0" fontId="2" fillId="0" borderId="4" xfId="0" applyFont="1" applyBorder="1"/>
    <xf numFmtId="0" fontId="2" fillId="0" borderId="2" xfId="0" applyFont="1" applyBorder="1"/>
    <xf numFmtId="0" fontId="2" fillId="0" borderId="7" xfId="0" applyFont="1" applyBorder="1"/>
    <xf numFmtId="164" fontId="2" fillId="0" borderId="0" xfId="1" applyNumberFormat="1" applyFont="1" applyBorder="1" applyAlignment="1">
      <alignment wrapText="1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0" borderId="4" xfId="0" applyFont="1" applyBorder="1" applyAlignment="1">
      <alignment wrapText="1"/>
    </xf>
    <xf numFmtId="164" fontId="2" fillId="0" borderId="4" xfId="1" applyNumberFormat="1" applyFont="1" applyBorder="1" applyAlignment="1">
      <alignment wrapText="1"/>
    </xf>
    <xf numFmtId="164" fontId="2" fillId="0" borderId="5" xfId="1" applyNumberFormat="1" applyFont="1" applyBorder="1"/>
    <xf numFmtId="165" fontId="2" fillId="0" borderId="6" xfId="0" applyNumberFormat="1" applyFont="1" applyBorder="1"/>
    <xf numFmtId="1" fontId="2" fillId="0" borderId="6" xfId="0" applyNumberFormat="1" applyFont="1" applyBorder="1"/>
    <xf numFmtId="0" fontId="3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3" fontId="2" fillId="0" borderId="2" xfId="0" applyNumberFormat="1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2" fillId="2" borderId="2" xfId="1" applyNumberFormat="1" applyFont="1" applyFill="1" applyBorder="1"/>
    <xf numFmtId="164" fontId="2" fillId="2" borderId="0" xfId="1" applyNumberFormat="1" applyFont="1" applyFill="1" applyBorder="1"/>
    <xf numFmtId="164" fontId="2" fillId="2" borderId="3" xfId="1" applyNumberFormat="1" applyFont="1" applyFill="1" applyBorder="1"/>
    <xf numFmtId="164" fontId="2" fillId="2" borderId="7" xfId="1" applyNumberFormat="1" applyFont="1" applyFill="1" applyBorder="1"/>
    <xf numFmtId="0" fontId="2" fillId="2" borderId="6" xfId="0" applyFont="1" applyFill="1" applyBorder="1"/>
    <xf numFmtId="164" fontId="2" fillId="2" borderId="6" xfId="1" applyNumberFormat="1" applyFont="1" applyFill="1" applyBorder="1"/>
    <xf numFmtId="165" fontId="2" fillId="2" borderId="6" xfId="0" applyNumberFormat="1" applyFont="1" applyFill="1" applyBorder="1"/>
    <xf numFmtId="0" fontId="2" fillId="2" borderId="0" xfId="0" applyFont="1" applyFill="1" applyBorder="1"/>
    <xf numFmtId="165" fontId="2" fillId="2" borderId="0" xfId="0" applyNumberFormat="1" applyFont="1" applyFill="1" applyBorder="1"/>
    <xf numFmtId="2" fontId="2" fillId="2" borderId="0" xfId="0" applyNumberFormat="1" applyFont="1" applyFill="1" applyBorder="1"/>
    <xf numFmtId="2" fontId="2" fillId="2" borderId="4" xfId="0" applyNumberFormat="1" applyFont="1" applyFill="1" applyBorder="1"/>
    <xf numFmtId="0" fontId="0" fillId="3" borderId="0" xfId="0" applyFill="1"/>
    <xf numFmtId="2" fontId="2" fillId="2" borderId="6" xfId="0" applyNumberFormat="1" applyFont="1" applyFill="1" applyBorder="1"/>
    <xf numFmtId="164" fontId="2" fillId="2" borderId="5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2F96-A4E2-3341-8D8D-4F8A97093FDB}">
  <dimension ref="A1:G41"/>
  <sheetViews>
    <sheetView tabSelected="1" workbookViewId="0">
      <selection activeCell="K32" sqref="K32"/>
    </sheetView>
  </sheetViews>
  <sheetFormatPr baseColWidth="10" defaultRowHeight="16" x14ac:dyDescent="0.2"/>
  <cols>
    <col min="1" max="1" width="19.1640625" customWidth="1"/>
    <col min="2" max="2" width="11" bestFit="1" customWidth="1"/>
    <col min="3" max="3" width="14.6640625" bestFit="1" customWidth="1"/>
    <col min="4" max="4" width="11" bestFit="1" customWidth="1"/>
    <col min="5" max="5" width="13.6640625" bestFit="1" customWidth="1"/>
    <col min="6" max="7" width="13.6640625" customWidth="1"/>
    <col min="12" max="12" width="13.6640625" customWidth="1"/>
  </cols>
  <sheetData>
    <row r="1" spans="1:7" x14ac:dyDescent="0.2">
      <c r="A1" t="s">
        <v>38</v>
      </c>
      <c r="B1" t="s">
        <v>39</v>
      </c>
    </row>
    <row r="2" spans="1:7" x14ac:dyDescent="0.2">
      <c r="A2" t="s">
        <v>40</v>
      </c>
      <c r="B2">
        <v>4</v>
      </c>
      <c r="F2" s="28"/>
      <c r="G2" s="28"/>
    </row>
    <row r="3" spans="1:7" x14ac:dyDescent="0.2">
      <c r="A3" t="s">
        <v>26</v>
      </c>
      <c r="B3" s="42">
        <v>3000</v>
      </c>
      <c r="C3" s="28"/>
      <c r="D3" s="28"/>
      <c r="E3" s="28"/>
      <c r="F3" s="28"/>
      <c r="G3" s="28"/>
    </row>
    <row r="4" spans="1:7" x14ac:dyDescent="0.2">
      <c r="A4" s="28"/>
      <c r="B4" s="28"/>
      <c r="C4" s="28"/>
      <c r="D4" s="28"/>
      <c r="E4" s="28"/>
      <c r="F4" s="28"/>
      <c r="G4" s="28"/>
    </row>
    <row r="5" spans="1:7" ht="17" thickBot="1" x14ac:dyDescent="0.25">
      <c r="A5" s="25" t="s">
        <v>28</v>
      </c>
      <c r="B5" s="25"/>
      <c r="C5" s="25"/>
      <c r="D5" s="25"/>
      <c r="E5" s="25"/>
      <c r="F5" s="28"/>
      <c r="G5" s="28"/>
    </row>
    <row r="6" spans="1:7" ht="17" thickBot="1" x14ac:dyDescent="0.25">
      <c r="A6" s="1" t="s">
        <v>29</v>
      </c>
      <c r="B6" s="1" t="s">
        <v>0</v>
      </c>
      <c r="C6" s="1" t="s">
        <v>23</v>
      </c>
      <c r="D6" s="1" t="s">
        <v>24</v>
      </c>
      <c r="E6" s="1" t="s">
        <v>1</v>
      </c>
      <c r="F6" s="2"/>
      <c r="G6" s="2"/>
    </row>
    <row r="7" spans="1:7" x14ac:dyDescent="0.2">
      <c r="A7" s="13" t="s">
        <v>2</v>
      </c>
      <c r="B7" s="13">
        <v>3000</v>
      </c>
      <c r="C7" s="13">
        <f>B2</f>
        <v>4</v>
      </c>
      <c r="D7" s="13">
        <v>3</v>
      </c>
      <c r="E7" s="31">
        <f>B7*C7*D7</f>
        <v>36000</v>
      </c>
      <c r="F7" s="3"/>
      <c r="G7" s="3"/>
    </row>
    <row r="8" spans="1:7" x14ac:dyDescent="0.2">
      <c r="A8" s="2" t="s">
        <v>4</v>
      </c>
      <c r="B8" s="2">
        <v>300</v>
      </c>
      <c r="C8" s="2">
        <f>C7</f>
        <v>4</v>
      </c>
      <c r="D8" s="2">
        <v>3</v>
      </c>
      <c r="E8" s="32">
        <f>B8*C8*D8</f>
        <v>3600</v>
      </c>
      <c r="F8" s="3"/>
      <c r="G8" s="3"/>
    </row>
    <row r="9" spans="1:7" x14ac:dyDescent="0.2">
      <c r="A9" s="2" t="s">
        <v>5</v>
      </c>
      <c r="B9" s="2">
        <v>500</v>
      </c>
      <c r="C9" s="2">
        <v>1</v>
      </c>
      <c r="D9" s="2"/>
      <c r="E9" s="32">
        <f>B9*C9</f>
        <v>500</v>
      </c>
      <c r="F9" s="3"/>
      <c r="G9" s="3"/>
    </row>
    <row r="10" spans="1:7" ht="17" thickBot="1" x14ac:dyDescent="0.25">
      <c r="A10" s="9" t="s">
        <v>6</v>
      </c>
      <c r="B10" s="9">
        <v>1000</v>
      </c>
      <c r="C10" s="9">
        <v>1</v>
      </c>
      <c r="D10" s="9"/>
      <c r="E10" s="33">
        <f>B10*C10</f>
        <v>1000</v>
      </c>
      <c r="F10" s="3"/>
      <c r="G10" s="3"/>
    </row>
    <row r="11" spans="1:7" ht="17" thickBot="1" x14ac:dyDescent="0.25">
      <c r="A11" s="14" t="s">
        <v>1</v>
      </c>
      <c r="B11" s="14"/>
      <c r="C11" s="14"/>
      <c r="D11" s="14"/>
      <c r="E11" s="34">
        <f>SUM(E7:E10)</f>
        <v>41100</v>
      </c>
      <c r="F11" s="3"/>
      <c r="G11" s="3"/>
    </row>
    <row r="12" spans="1:7" x14ac:dyDescent="0.2">
      <c r="A12" s="2"/>
      <c r="B12" s="2"/>
      <c r="C12" s="2"/>
      <c r="D12" s="2"/>
      <c r="E12" s="3"/>
      <c r="F12" s="3"/>
      <c r="G12" s="3"/>
    </row>
    <row r="13" spans="1:7" ht="17" thickBot="1" x14ac:dyDescent="0.25">
      <c r="A13" s="24" t="s">
        <v>31</v>
      </c>
      <c r="B13" s="24"/>
      <c r="C13" s="24"/>
      <c r="D13" s="24"/>
      <c r="E13" s="24"/>
      <c r="F13" s="29"/>
      <c r="G13" s="29"/>
    </row>
    <row r="14" spans="1:7" ht="52" thickBot="1" x14ac:dyDescent="0.25">
      <c r="A14" s="12"/>
      <c r="B14" s="19" t="s">
        <v>25</v>
      </c>
      <c r="C14" s="19" t="s">
        <v>30</v>
      </c>
      <c r="D14" s="19" t="s">
        <v>27</v>
      </c>
      <c r="E14" s="20" t="s">
        <v>1</v>
      </c>
      <c r="F14" s="15"/>
      <c r="G14" s="15"/>
    </row>
    <row r="15" spans="1:7" ht="17" thickBot="1" x14ac:dyDescent="0.25">
      <c r="A15" s="18" t="s">
        <v>7</v>
      </c>
      <c r="B15" s="18">
        <v>20</v>
      </c>
      <c r="C15" s="35">
        <f>B3*20%</f>
        <v>600</v>
      </c>
      <c r="D15" s="18">
        <v>2.5</v>
      </c>
      <c r="E15" s="36">
        <f>B15*C15*D15</f>
        <v>30000</v>
      </c>
      <c r="F15" s="3"/>
      <c r="G15" s="3"/>
    </row>
    <row r="16" spans="1:7" x14ac:dyDescent="0.2">
      <c r="A16" s="2"/>
      <c r="B16" s="2"/>
      <c r="C16" s="2"/>
      <c r="D16" s="2"/>
      <c r="E16" s="3"/>
      <c r="F16" s="3"/>
      <c r="G16" s="3"/>
    </row>
    <row r="17" spans="1:7" ht="17" thickBot="1" x14ac:dyDescent="0.25">
      <c r="A17" s="24" t="s">
        <v>22</v>
      </c>
      <c r="B17" s="24"/>
      <c r="C17" s="24"/>
      <c r="D17" s="24"/>
      <c r="E17" s="24"/>
      <c r="F17" s="29"/>
      <c r="G17" s="29"/>
    </row>
    <row r="18" spans="1:7" ht="35" thickBot="1" x14ac:dyDescent="0.25">
      <c r="A18" s="19"/>
      <c r="B18" s="19" t="s">
        <v>32</v>
      </c>
      <c r="C18" s="19" t="s">
        <v>33</v>
      </c>
      <c r="D18" s="19" t="s">
        <v>34</v>
      </c>
      <c r="E18" s="20" t="s">
        <v>1</v>
      </c>
      <c r="F18" s="15"/>
      <c r="G18" s="15"/>
    </row>
    <row r="19" spans="1:7" ht="17" thickBot="1" x14ac:dyDescent="0.25">
      <c r="A19" s="18" t="s">
        <v>22</v>
      </c>
      <c r="B19" s="37">
        <f>500/30/8/60</f>
        <v>3.4722222222222224E-2</v>
      </c>
      <c r="C19" s="23">
        <v>10</v>
      </c>
      <c r="D19" s="23">
        <v>200000</v>
      </c>
      <c r="E19" s="36">
        <f>B19*D19*C19</f>
        <v>69444.444444444438</v>
      </c>
      <c r="F19" s="5"/>
      <c r="G19" s="5"/>
    </row>
    <row r="20" spans="1:7" x14ac:dyDescent="0.2">
      <c r="A20" s="2"/>
      <c r="B20" s="4"/>
      <c r="C20" s="5"/>
      <c r="D20" s="5"/>
      <c r="E20" s="5"/>
      <c r="F20" s="5"/>
      <c r="G20" s="5"/>
    </row>
    <row r="21" spans="1:7" ht="17" thickBot="1" x14ac:dyDescent="0.25">
      <c r="A21" s="26" t="s">
        <v>35</v>
      </c>
      <c r="B21" s="26"/>
      <c r="C21" s="26"/>
      <c r="D21" s="26"/>
      <c r="E21" s="26"/>
      <c r="F21" s="29"/>
      <c r="G21" s="29"/>
    </row>
    <row r="22" spans="1:7" ht="17" x14ac:dyDescent="0.2">
      <c r="A22" s="17" t="s">
        <v>21</v>
      </c>
      <c r="B22" s="16"/>
      <c r="C22" s="16"/>
      <c r="D22" s="16"/>
      <c r="E22" s="44">
        <f>E11-E15</f>
        <v>11100</v>
      </c>
      <c r="F22" s="6"/>
      <c r="G22" s="6"/>
    </row>
    <row r="23" spans="1:7" ht="17" thickBot="1" x14ac:dyDescent="0.25">
      <c r="A23" s="18" t="s">
        <v>16</v>
      </c>
      <c r="B23" s="22"/>
      <c r="C23" s="22"/>
      <c r="D23" s="11"/>
      <c r="E23" s="36">
        <f>E22+E19</f>
        <v>80544.444444444438</v>
      </c>
      <c r="F23" s="5"/>
      <c r="G23" s="5"/>
    </row>
    <row r="24" spans="1:7" x14ac:dyDescent="0.2">
      <c r="A24" s="2"/>
      <c r="B24" s="4"/>
      <c r="C24" s="4"/>
      <c r="E24" s="5"/>
      <c r="F24" s="5"/>
      <c r="G24" s="5"/>
    </row>
    <row r="25" spans="1:7" ht="17" thickBot="1" x14ac:dyDescent="0.25">
      <c r="A25" s="26" t="s">
        <v>37</v>
      </c>
      <c r="B25" s="26"/>
      <c r="C25" s="26"/>
      <c r="D25" s="26"/>
      <c r="E25" s="26"/>
      <c r="F25" s="29"/>
      <c r="G25" s="29"/>
    </row>
    <row r="26" spans="1:7" x14ac:dyDescent="0.2">
      <c r="A26" s="16" t="s">
        <v>17</v>
      </c>
      <c r="B26" s="16"/>
      <c r="C26" s="16"/>
      <c r="D26" s="16"/>
      <c r="E26" s="21">
        <f>B3</f>
        <v>3000</v>
      </c>
      <c r="F26" s="2"/>
      <c r="G26" s="2"/>
    </row>
    <row r="27" spans="1:7" ht="17" thickBot="1" x14ac:dyDescent="0.25">
      <c r="A27" s="18" t="s">
        <v>42</v>
      </c>
      <c r="B27" s="18"/>
      <c r="C27" s="18"/>
      <c r="D27" s="18"/>
      <c r="E27" s="43">
        <f>F41</f>
        <v>6.7397260273972606</v>
      </c>
      <c r="F27" s="7"/>
      <c r="G27" s="7"/>
    </row>
    <row r="29" spans="1:7" x14ac:dyDescent="0.2">
      <c r="A29" s="2"/>
      <c r="B29" s="2"/>
      <c r="C29" s="2"/>
      <c r="D29" s="2"/>
      <c r="E29" s="7"/>
      <c r="F29" s="7"/>
      <c r="G29" s="7"/>
    </row>
    <row r="30" spans="1:7" ht="17" thickBot="1" x14ac:dyDescent="0.25">
      <c r="A30" s="26" t="s">
        <v>36</v>
      </c>
      <c r="B30" s="26"/>
      <c r="C30" s="26"/>
      <c r="D30" s="26"/>
      <c r="E30" s="26"/>
      <c r="F30" s="29"/>
      <c r="G30" s="29"/>
    </row>
    <row r="31" spans="1:7" x14ac:dyDescent="0.2">
      <c r="A31" s="13" t="s">
        <v>15</v>
      </c>
      <c r="B31" s="13"/>
      <c r="C31" s="13"/>
      <c r="D31" s="13"/>
      <c r="E31" s="27">
        <f>E22/3000</f>
        <v>3.7</v>
      </c>
      <c r="F31" s="8"/>
      <c r="G31" s="8"/>
    </row>
    <row r="32" spans="1:7" x14ac:dyDescent="0.2">
      <c r="A32" s="2" t="s">
        <v>20</v>
      </c>
      <c r="B32" s="2"/>
      <c r="C32" s="2"/>
      <c r="D32" s="2"/>
      <c r="E32" s="8">
        <f>E23/E26</f>
        <v>26.848148148148145</v>
      </c>
      <c r="F32" s="8"/>
      <c r="G32" s="8"/>
    </row>
    <row r="33" spans="1:7" x14ac:dyDescent="0.2">
      <c r="A33" s="2" t="s">
        <v>18</v>
      </c>
      <c r="B33" s="2"/>
      <c r="C33" s="2"/>
      <c r="D33" s="2"/>
      <c r="E33" s="8">
        <f>E22/E27</f>
        <v>1646.9512195121949</v>
      </c>
      <c r="F33" s="8"/>
      <c r="G33" s="8"/>
    </row>
    <row r="34" spans="1:7" ht="17" thickBot="1" x14ac:dyDescent="0.25">
      <c r="A34" s="9" t="s">
        <v>19</v>
      </c>
      <c r="B34" s="9"/>
      <c r="C34" s="9"/>
      <c r="D34" s="9"/>
      <c r="E34" s="10">
        <f>E23/E27</f>
        <v>11950.700090334236</v>
      </c>
      <c r="F34" s="3"/>
      <c r="G34" s="3"/>
    </row>
    <row r="37" spans="1:7" ht="17" thickBot="1" x14ac:dyDescent="0.25">
      <c r="A37" s="30" t="s">
        <v>41</v>
      </c>
      <c r="B37" s="30"/>
      <c r="C37" s="30"/>
      <c r="D37" s="30"/>
      <c r="E37" s="30"/>
      <c r="F37" s="30"/>
    </row>
    <row r="38" spans="1:7" ht="17" thickBot="1" x14ac:dyDescent="0.25">
      <c r="A38" s="12" t="s">
        <v>8</v>
      </c>
      <c r="B38" s="12" t="s">
        <v>11</v>
      </c>
      <c r="C38" s="12" t="s">
        <v>14</v>
      </c>
      <c r="D38" s="12" t="s">
        <v>3</v>
      </c>
      <c r="E38" s="12" t="s">
        <v>12</v>
      </c>
      <c r="F38" s="12" t="s">
        <v>13</v>
      </c>
    </row>
    <row r="39" spans="1:7" x14ac:dyDescent="0.2">
      <c r="A39" s="2" t="s">
        <v>9</v>
      </c>
      <c r="B39" s="2">
        <v>0.85</v>
      </c>
      <c r="C39" s="38">
        <v>0.15</v>
      </c>
      <c r="D39" s="39">
        <f>14/365</f>
        <v>3.8356164383561646E-2</v>
      </c>
      <c r="E39" s="38">
        <f>B3*20%</f>
        <v>600</v>
      </c>
      <c r="F39" s="40">
        <f>C39*D39*E39</f>
        <v>3.452054794520548</v>
      </c>
    </row>
    <row r="40" spans="1:7" ht="17" thickBot="1" x14ac:dyDescent="0.25">
      <c r="A40" s="2" t="s">
        <v>10</v>
      </c>
      <c r="B40" s="2">
        <v>0.95</v>
      </c>
      <c r="C40" s="38">
        <v>0.05</v>
      </c>
      <c r="D40" s="39">
        <f>10/365</f>
        <v>2.7397260273972601E-2</v>
      </c>
      <c r="E40" s="38">
        <f>B3*80%</f>
        <v>2400</v>
      </c>
      <c r="F40" s="40">
        <f>C40*D40*E40</f>
        <v>3.2876712328767121</v>
      </c>
    </row>
    <row r="41" spans="1:7" ht="17" thickBot="1" x14ac:dyDescent="0.25">
      <c r="A41" s="12" t="s">
        <v>1</v>
      </c>
      <c r="B41" s="12"/>
      <c r="C41" s="12"/>
      <c r="D41" s="12"/>
      <c r="E41" s="12"/>
      <c r="F41" s="41">
        <f>SUM(F39:F40)</f>
        <v>6.7397260273972606</v>
      </c>
    </row>
  </sheetData>
  <mergeCells count="7">
    <mergeCell ref="A37:F37"/>
    <mergeCell ref="A5:E5"/>
    <mergeCell ref="A13:E13"/>
    <mergeCell ref="A17:E17"/>
    <mergeCell ref="A21:E21"/>
    <mergeCell ref="A30:E30"/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2025-12-23T02:50:17Z</dcterms:created>
  <dcterms:modified xsi:type="dcterms:W3CDTF">2026-02-20T02:45:23Z</dcterms:modified>
</cp:coreProperties>
</file>